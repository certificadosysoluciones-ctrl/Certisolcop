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\Documents\15092026\"/>
    </mc:Choice>
  </mc:AlternateContent>
  <xr:revisionPtr revIDLastSave="0" documentId="8_{F339A77B-A3E3-4826-80AA-E73632E82AB6}" xr6:coauthVersionLast="47" xr6:coauthVersionMax="47" xr10:uidLastSave="{00000000-0000-0000-0000-000000000000}"/>
  <bookViews>
    <workbookView xWindow="-108" yWindow="-108" windowWidth="23256" windowHeight="13896" xr2:uid="{A46AE7CE-6F69-4DF7-BF25-7C37DA0CE6B0}"/>
  </bookViews>
  <sheets>
    <sheet name="Rodamiento 63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6" i="1"/>
  <c r="B25" i="1"/>
  <c r="B24" i="1"/>
  <c r="B23" i="1"/>
</calcChain>
</file>

<file path=xl/sharedStrings.xml><?xml version="1.0" encoding="utf-8"?>
<sst xmlns="http://schemas.openxmlformats.org/spreadsheetml/2006/main" count="99" uniqueCount="51">
  <si>
    <t>Rodamientos rigidos de una hilera de bolas - Rodamiento 6306</t>
  </si>
  <si>
    <t>Simbolo</t>
  </si>
  <si>
    <t>Valor</t>
  </si>
  <si>
    <t>Unidad</t>
  </si>
  <si>
    <t>Origen</t>
  </si>
  <si>
    <t>Fr</t>
  </si>
  <si>
    <t>N</t>
  </si>
  <si>
    <t>Dato (rodamiento / enunciado)</t>
  </si>
  <si>
    <t>Fa</t>
  </si>
  <si>
    <t>n</t>
  </si>
  <si>
    <t>rpm</t>
  </si>
  <si>
    <t>Designacion</t>
  </si>
  <si>
    <t>-</t>
  </si>
  <si>
    <t>Juego interno</t>
  </si>
  <si>
    <t>Normal</t>
  </si>
  <si>
    <t>d</t>
  </si>
  <si>
    <t>mm</t>
  </si>
  <si>
    <t>D</t>
  </si>
  <si>
    <t>B</t>
  </si>
  <si>
    <t>d1</t>
  </si>
  <si>
    <t>D1</t>
  </si>
  <si>
    <t>r1</t>
  </si>
  <si>
    <t>r2</t>
  </si>
  <si>
    <t>C0 (carga estatica)</t>
  </si>
  <si>
    <t>C (carga dinamica)</t>
  </si>
  <si>
    <t>f0</t>
  </si>
  <si>
    <t>Dato (tabla segun rodamiento)</t>
  </si>
  <si>
    <t>CALCULOS</t>
  </si>
  <si>
    <t>X0</t>
  </si>
  <si>
    <t>Tabla / interpolacion</t>
  </si>
  <si>
    <t>Y0</t>
  </si>
  <si>
    <t>P0</t>
  </si>
  <si>
    <t>Formula</t>
  </si>
  <si>
    <t>Fa/Fr</t>
  </si>
  <si>
    <t>Fa/C0</t>
  </si>
  <si>
    <t>f0*Fa/C0</t>
  </si>
  <si>
    <t>e</t>
  </si>
  <si>
    <t>X</t>
  </si>
  <si>
    <t>Y</t>
  </si>
  <si>
    <t>P</t>
  </si>
  <si>
    <t>cs0</t>
  </si>
  <si>
    <t>cs</t>
  </si>
  <si>
    <t>L10</t>
  </si>
  <si>
    <t>10^6 revoluciones</t>
  </si>
  <si>
    <t>L10h</t>
  </si>
  <si>
    <t>horas</t>
  </si>
  <si>
    <t>Condiciones: P0 &lt; Fr  -&gt;  X0=1, Y0=0    |    Fa/Fr &gt; e  -&gt;  se usa X, Y de tabla</t>
  </si>
  <si>
    <t>Leyenda:</t>
  </si>
  <si>
    <t>Azul = dato procedente del rodamiento</t>
  </si>
  <si>
    <t>Amarillo = formula calculada</t>
  </si>
  <si>
    <t>Verde = tabla / interpolacion (SKF)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</si>
</sst>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99CC9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3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914F-EDD8-4731-B9BC-623BC23B7C0B}">
  <dimension ref="A1:D41"/>
  <sheetViews>
    <sheetView tabSelected="1" workbookViewId="0"/>
  </sheetViews>
  <sheetFormatPr baseColWidth="10" defaultRowHeight="14.4" x14ac:dyDescent="0.3"/>
  <cols>
    <col min="1" max="1" width="22.77734375" customWidth="1"/>
    <col min="2" max="2" width="14.77734375" customWidth="1"/>
    <col min="3" max="3" width="20.77734375" customWidth="1"/>
    <col min="4" max="4" width="30.77734375" customWidth="1"/>
  </cols>
  <sheetData>
    <row r="1" spans="1:4" ht="17.399999999999999" x14ac:dyDescent="0.35">
      <c r="A1" s="2" t="s">
        <v>0</v>
      </c>
      <c r="B1" s="3"/>
      <c r="C1" s="3"/>
      <c r="D1" s="3"/>
    </row>
    <row r="3" spans="1:4" x14ac:dyDescent="0.3">
      <c r="A3" s="5" t="s">
        <v>1</v>
      </c>
      <c r="B3" s="5" t="s">
        <v>2</v>
      </c>
      <c r="C3" s="5" t="s">
        <v>3</v>
      </c>
      <c r="D3" s="5" t="s">
        <v>4</v>
      </c>
    </row>
    <row r="4" spans="1:4" x14ac:dyDescent="0.3">
      <c r="A4" s="7" t="s">
        <v>5</v>
      </c>
      <c r="B4" s="13">
        <v>3400</v>
      </c>
      <c r="C4" t="s">
        <v>6</v>
      </c>
      <c r="D4" t="s">
        <v>7</v>
      </c>
    </row>
    <row r="5" spans="1:4" x14ac:dyDescent="0.3">
      <c r="A5" s="7" t="s">
        <v>8</v>
      </c>
      <c r="B5" s="13">
        <v>1100</v>
      </c>
      <c r="C5" t="s">
        <v>6</v>
      </c>
      <c r="D5" t="s">
        <v>7</v>
      </c>
    </row>
    <row r="6" spans="1:4" x14ac:dyDescent="0.3">
      <c r="A6" s="7" t="s">
        <v>9</v>
      </c>
      <c r="B6" s="13">
        <v>1000</v>
      </c>
      <c r="C6" t="s">
        <v>10</v>
      </c>
      <c r="D6" t="s">
        <v>7</v>
      </c>
    </row>
    <row r="7" spans="1:4" x14ac:dyDescent="0.3">
      <c r="A7" s="7" t="s">
        <v>11</v>
      </c>
      <c r="B7">
        <v>6306</v>
      </c>
      <c r="C7" t="s">
        <v>12</v>
      </c>
      <c r="D7" t="s">
        <v>7</v>
      </c>
    </row>
    <row r="8" spans="1:4" x14ac:dyDescent="0.3">
      <c r="A8" s="7" t="s">
        <v>13</v>
      </c>
      <c r="B8" t="s">
        <v>14</v>
      </c>
      <c r="C8" t="s">
        <v>12</v>
      </c>
      <c r="D8" t="s">
        <v>7</v>
      </c>
    </row>
    <row r="9" spans="1:4" x14ac:dyDescent="0.3">
      <c r="A9" s="7" t="s">
        <v>15</v>
      </c>
      <c r="B9" s="14">
        <v>30</v>
      </c>
      <c r="C9" t="s">
        <v>16</v>
      </c>
      <c r="D9" t="s">
        <v>7</v>
      </c>
    </row>
    <row r="10" spans="1:4" x14ac:dyDescent="0.3">
      <c r="A10" s="7" t="s">
        <v>17</v>
      </c>
      <c r="B10" s="14">
        <v>72</v>
      </c>
      <c r="C10" t="s">
        <v>16</v>
      </c>
      <c r="D10" t="s">
        <v>7</v>
      </c>
    </row>
    <row r="11" spans="1:4" x14ac:dyDescent="0.3">
      <c r="A11" s="7" t="s">
        <v>18</v>
      </c>
      <c r="B11" s="14">
        <v>19</v>
      </c>
      <c r="C11" t="s">
        <v>16</v>
      </c>
      <c r="D11" t="s">
        <v>7</v>
      </c>
    </row>
    <row r="12" spans="1:4" x14ac:dyDescent="0.3">
      <c r="A12" s="7" t="s">
        <v>19</v>
      </c>
      <c r="B12" s="14">
        <v>44.6</v>
      </c>
      <c r="C12" t="s">
        <v>16</v>
      </c>
      <c r="D12" t="s">
        <v>7</v>
      </c>
    </row>
    <row r="13" spans="1:4" x14ac:dyDescent="0.3">
      <c r="A13" s="7" t="s">
        <v>20</v>
      </c>
      <c r="B13" s="14">
        <v>59.1</v>
      </c>
      <c r="C13" t="s">
        <v>16</v>
      </c>
      <c r="D13" t="s">
        <v>7</v>
      </c>
    </row>
    <row r="14" spans="1:4" x14ac:dyDescent="0.3">
      <c r="A14" s="7" t="s">
        <v>21</v>
      </c>
      <c r="B14" s="14">
        <v>1.1000000000000001</v>
      </c>
      <c r="C14" t="s">
        <v>16</v>
      </c>
      <c r="D14" t="s">
        <v>7</v>
      </c>
    </row>
    <row r="15" spans="1:4" x14ac:dyDescent="0.3">
      <c r="A15" s="7" t="s">
        <v>22</v>
      </c>
      <c r="B15" s="14">
        <v>1.1000000000000001</v>
      </c>
      <c r="C15" t="s">
        <v>16</v>
      </c>
      <c r="D15" t="s">
        <v>7</v>
      </c>
    </row>
    <row r="16" spans="1:4" x14ac:dyDescent="0.3">
      <c r="A16" s="7" t="s">
        <v>23</v>
      </c>
      <c r="B16" s="13">
        <v>16000</v>
      </c>
      <c r="C16" t="s">
        <v>6</v>
      </c>
      <c r="D16" t="s">
        <v>7</v>
      </c>
    </row>
    <row r="17" spans="1:4" x14ac:dyDescent="0.3">
      <c r="A17" s="7" t="s">
        <v>24</v>
      </c>
      <c r="B17" s="13">
        <v>29600</v>
      </c>
      <c r="C17" t="s">
        <v>6</v>
      </c>
      <c r="D17" t="s">
        <v>7</v>
      </c>
    </row>
    <row r="18" spans="1:4" x14ac:dyDescent="0.3">
      <c r="A18" s="7" t="s">
        <v>25</v>
      </c>
      <c r="B18">
        <v>13</v>
      </c>
      <c r="C18" t="s">
        <v>12</v>
      </c>
      <c r="D18" t="s">
        <v>26</v>
      </c>
    </row>
    <row r="20" spans="1:4" x14ac:dyDescent="0.3">
      <c r="A20" s="4" t="s">
        <v>27</v>
      </c>
    </row>
    <row r="21" spans="1:4" x14ac:dyDescent="0.3">
      <c r="A21" s="9" t="s">
        <v>28</v>
      </c>
      <c r="B21">
        <v>1</v>
      </c>
      <c r="C21" t="s">
        <v>12</v>
      </c>
      <c r="D21" t="s">
        <v>29</v>
      </c>
    </row>
    <row r="22" spans="1:4" x14ac:dyDescent="0.3">
      <c r="A22" s="9" t="s">
        <v>30</v>
      </c>
      <c r="B22">
        <v>0</v>
      </c>
      <c r="C22" t="s">
        <v>12</v>
      </c>
      <c r="D22" t="s">
        <v>29</v>
      </c>
    </row>
    <row r="23" spans="1:4" x14ac:dyDescent="0.3">
      <c r="A23" s="11" t="s">
        <v>31</v>
      </c>
      <c r="B23" s="13">
        <f>B21*B4+B22*B5</f>
        <v>3400</v>
      </c>
      <c r="C23" t="s">
        <v>6</v>
      </c>
      <c r="D23" t="s">
        <v>32</v>
      </c>
    </row>
    <row r="24" spans="1:4" x14ac:dyDescent="0.3">
      <c r="A24" s="11" t="s">
        <v>33</v>
      </c>
      <c r="B24" s="15">
        <f>B5/B4</f>
        <v>0.3235294117647059</v>
      </c>
      <c r="C24" t="s">
        <v>12</v>
      </c>
      <c r="D24" t="s">
        <v>32</v>
      </c>
    </row>
    <row r="25" spans="1:4" x14ac:dyDescent="0.3">
      <c r="A25" s="11" t="s">
        <v>34</v>
      </c>
      <c r="B25" s="15">
        <f>B5/B16</f>
        <v>6.8750000000000006E-2</v>
      </c>
      <c r="C25" t="s">
        <v>12</v>
      </c>
      <c r="D25" t="s">
        <v>32</v>
      </c>
    </row>
    <row r="26" spans="1:4" x14ac:dyDescent="0.3">
      <c r="A26" s="11" t="s">
        <v>35</v>
      </c>
      <c r="B26" s="15">
        <f>B18*ROUND(B25,3)</f>
        <v>0.89700000000000002</v>
      </c>
      <c r="C26" t="s">
        <v>12</v>
      </c>
      <c r="D26" t="s">
        <v>32</v>
      </c>
    </row>
    <row r="27" spans="1:4" x14ac:dyDescent="0.3">
      <c r="A27" s="9" t="s">
        <v>36</v>
      </c>
      <c r="B27" s="15">
        <v>0.26800000000000002</v>
      </c>
      <c r="C27" t="s">
        <v>12</v>
      </c>
      <c r="D27" t="s">
        <v>29</v>
      </c>
    </row>
    <row r="28" spans="1:4" x14ac:dyDescent="0.3">
      <c r="A28" s="9" t="s">
        <v>37</v>
      </c>
      <c r="B28" s="15">
        <v>0.56000000000000005</v>
      </c>
      <c r="C28" t="s">
        <v>12</v>
      </c>
      <c r="D28" t="s">
        <v>29</v>
      </c>
    </row>
    <row r="29" spans="1:4" x14ac:dyDescent="0.3">
      <c r="A29" s="9" t="s">
        <v>38</v>
      </c>
      <c r="B29" s="15">
        <v>1.6479999999999999</v>
      </c>
      <c r="C29" t="s">
        <v>12</v>
      </c>
      <c r="D29" t="s">
        <v>29</v>
      </c>
    </row>
    <row r="30" spans="1:4" x14ac:dyDescent="0.3">
      <c r="A30" s="11" t="s">
        <v>39</v>
      </c>
      <c r="B30" s="13">
        <f>B28*B4+B29*B5</f>
        <v>3716.8</v>
      </c>
      <c r="C30" t="s">
        <v>6</v>
      </c>
      <c r="D30" t="s">
        <v>32</v>
      </c>
    </row>
    <row r="31" spans="1:4" x14ac:dyDescent="0.3">
      <c r="A31" s="11" t="s">
        <v>40</v>
      </c>
      <c r="B31" s="15">
        <f>B16/B23</f>
        <v>4.7058823529411766</v>
      </c>
      <c r="C31" t="s">
        <v>12</v>
      </c>
      <c r="D31" t="s">
        <v>32</v>
      </c>
    </row>
    <row r="32" spans="1:4" x14ac:dyDescent="0.3">
      <c r="A32" s="11" t="s">
        <v>41</v>
      </c>
      <c r="B32" s="15">
        <f>B17/B30</f>
        <v>7.9638398622470943</v>
      </c>
      <c r="C32" t="s">
        <v>12</v>
      </c>
      <c r="D32" t="s">
        <v>32</v>
      </c>
    </row>
    <row r="33" spans="1:4" x14ac:dyDescent="0.3">
      <c r="A33" s="11" t="s">
        <v>42</v>
      </c>
      <c r="B33" s="13">
        <f>B32^3</f>
        <v>505.08858760354826</v>
      </c>
      <c r="C33" t="s">
        <v>43</v>
      </c>
      <c r="D33" t="s">
        <v>32</v>
      </c>
    </row>
    <row r="34" spans="1:4" x14ac:dyDescent="0.3">
      <c r="A34" s="11" t="s">
        <v>44</v>
      </c>
      <c r="B34" s="13">
        <f>B33*10^6/(60*B6)</f>
        <v>8418.1431267258049</v>
      </c>
      <c r="C34" t="s">
        <v>45</v>
      </c>
      <c r="D34" t="s">
        <v>32</v>
      </c>
    </row>
    <row r="36" spans="1:4" x14ac:dyDescent="0.3">
      <c r="A36" s="12" t="s">
        <v>46</v>
      </c>
      <c r="B36" s="1"/>
      <c r="C36" s="1"/>
      <c r="D36" s="1"/>
    </row>
    <row r="38" spans="1:4" x14ac:dyDescent="0.3">
      <c r="A38" s="4" t="s">
        <v>47</v>
      </c>
    </row>
    <row r="39" spans="1:4" x14ac:dyDescent="0.3">
      <c r="A39" s="6" t="s">
        <v>48</v>
      </c>
      <c r="B39" s="6"/>
    </row>
    <row r="40" spans="1:4" x14ac:dyDescent="0.3">
      <c r="A40" s="10" t="s">
        <v>49</v>
      </c>
      <c r="B40" s="10"/>
    </row>
    <row r="41" spans="1:4" x14ac:dyDescent="0.3">
      <c r="A41" s="8" t="s">
        <v>50</v>
      </c>
      <c r="B41" s="8"/>
    </row>
  </sheetData>
  <mergeCells count="2">
    <mergeCell ref="A1:D1"/>
    <mergeCell ref="A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Rodamiento 6306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</dc:creator>
  <cp:lastModifiedBy>Josu</cp:lastModifiedBy>
  <dcterms:created xsi:type="dcterms:W3CDTF">2026-10-05T14:57:07Z</dcterms:created>
  <dcterms:modified xsi:type="dcterms:W3CDTF">2026-10-05T14:57:12Z</dcterms:modified>
</cp:coreProperties>
</file>